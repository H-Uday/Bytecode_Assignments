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Code\Excel BC\Assingments\"/>
    </mc:Choice>
  </mc:AlternateContent>
  <xr:revisionPtr revIDLastSave="0" documentId="13_ncr:1_{08A6CBE5-F59A-4DB3-A94D-A9B94D5A4C45}" xr6:coauthVersionLast="47" xr6:coauthVersionMax="47" xr10:uidLastSave="{00000000-0000-0000-0000-000000000000}"/>
  <bookViews>
    <workbookView xWindow="-108" yWindow="-108" windowWidth="23256" windowHeight="12456" xr2:uid="{EEEF2E51-F1ED-47DA-B5CC-4CE40157F90C}"/>
  </bookViews>
  <sheets>
    <sheet name="Sheet1" sheetId="1" r:id="rId1"/>
  </sheets>
  <definedNames>
    <definedName name="_xlnm._FilterDatabase" localSheetId="0" hidden="1">Sheet1!$D$13:$F$23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25" i="1" s="1"/>
  <c r="E25" i="1"/>
</calcChain>
</file>

<file path=xl/sharedStrings.xml><?xml version="1.0" encoding="utf-8"?>
<sst xmlns="http://schemas.openxmlformats.org/spreadsheetml/2006/main" count="57" uniqueCount="44">
  <si>
    <t>Monthly Sales Performance Report – January 2024</t>
  </si>
  <si>
    <t>Total Sales</t>
  </si>
  <si>
    <t>Total Orders</t>
  </si>
  <si>
    <t>Order ID</t>
  </si>
  <si>
    <t>Order Date</t>
  </si>
  <si>
    <t>Customer Name</t>
  </si>
  <si>
    <t>Region</t>
  </si>
  <si>
    <t>Category</t>
  </si>
  <si>
    <t>Product</t>
  </si>
  <si>
    <t>Sales</t>
  </si>
  <si>
    <t>Quantity</t>
  </si>
  <si>
    <t>Profit</t>
  </si>
  <si>
    <t>North</t>
  </si>
  <si>
    <t>Electronics</t>
  </si>
  <si>
    <t>Wireless Mouse</t>
  </si>
  <si>
    <t>Priya Singh</t>
  </si>
  <si>
    <t>South</t>
  </si>
  <si>
    <t>Furniture</t>
  </si>
  <si>
    <t>Office Chair</t>
  </si>
  <si>
    <t>East</t>
  </si>
  <si>
    <t>Office Supplies</t>
  </si>
  <si>
    <t>Paper Shredder</t>
  </si>
  <si>
    <t>Ishita Iyer</t>
  </si>
  <si>
    <t>West</t>
  </si>
  <si>
    <t>USB-C Hub</t>
  </si>
  <si>
    <t>Aarav Goel</t>
  </si>
  <si>
    <t>Bookshelf</t>
  </si>
  <si>
    <t>Sana Khan</t>
  </si>
  <si>
    <t>Central</t>
  </si>
  <si>
    <t>Whiteboard</t>
  </si>
  <si>
    <t>Bluetooth Speaker</t>
  </si>
  <si>
    <t>Desk Organizer</t>
  </si>
  <si>
    <t>Arjun Verma</t>
  </si>
  <si>
    <t>Study Lamp</t>
  </si>
  <si>
    <t>Ananya Das</t>
  </si>
  <si>
    <t>Power Bank</t>
  </si>
  <si>
    <t xml:space="preserve"> Sharma</t>
  </si>
  <si>
    <t>Rohan</t>
  </si>
  <si>
    <t>Meera</t>
  </si>
  <si>
    <t xml:space="preserve"> </t>
  </si>
  <si>
    <t>Order Details</t>
  </si>
  <si>
    <t>Product Details</t>
  </si>
  <si>
    <t>Sales &amp; Profit</t>
  </si>
  <si>
    <t>Total Quantity =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</si>
</sst>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800]dddd\,\ mmmm\ dd\,\ yyyy"/>
  </numFmts>
  <fonts count="9" x14ac:knownFonts="1"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E4197"/>
        <bgColor indexed="64"/>
      </patternFill>
    </fill>
    <fill>
      <patternFill patternType="solid">
        <fgColor rgb="FFF664B4"/>
        <bgColor indexed="64"/>
      </patternFill>
    </fill>
    <fill>
      <patternFill patternType="solid">
        <fgColor rgb="FFF5CF6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5" fillId="0" borderId="16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0" borderId="21" xfId="0" applyFont="1" applyBorder="1" applyAlignment="1">
      <alignment horizontal="center" vertical="center" wrapText="1" readingOrder="1"/>
    </xf>
    <xf numFmtId="0" fontId="5" fillId="0" borderId="22" xfId="0" applyFont="1" applyBorder="1" applyAlignment="1">
      <alignment horizontal="center" vertical="center" wrapText="1" readingOrder="1"/>
    </xf>
    <xf numFmtId="0" fontId="4" fillId="3" borderId="2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0" fillId="0" borderId="22" xfId="0" applyBorder="1"/>
    <xf numFmtId="0" fontId="0" fillId="0" borderId="19" xfId="0" applyBorder="1"/>
    <xf numFmtId="164" fontId="5" fillId="0" borderId="21" xfId="0" applyNumberFormat="1" applyFont="1" applyBorder="1" applyAlignment="1">
      <alignment horizontal="center" vertical="center" wrapText="1" readingOrder="1"/>
    </xf>
    <xf numFmtId="164" fontId="5" fillId="0" borderId="20" xfId="0" applyNumberFormat="1" applyFont="1" applyBorder="1" applyAlignment="1">
      <alignment horizontal="center" vertical="center" wrapText="1" readingOrder="1"/>
    </xf>
    <xf numFmtId="0" fontId="5" fillId="7" borderId="21" xfId="0" applyFont="1" applyFill="1" applyBorder="1" applyAlignment="1">
      <alignment horizontal="center" vertical="center" readingOrder="1"/>
    </xf>
    <xf numFmtId="0" fontId="5" fillId="7" borderId="9" xfId="0" applyFont="1" applyFill="1" applyBorder="1" applyAlignment="1">
      <alignment horizontal="center" vertical="center" wrapText="1" readingOrder="1"/>
    </xf>
    <xf numFmtId="0" fontId="5" fillId="7" borderId="22" xfId="0" applyFont="1" applyFill="1" applyBorder="1" applyAlignment="1">
      <alignment horizontal="center" vertical="center" wrapText="1" readingOrder="1"/>
    </xf>
    <xf numFmtId="0" fontId="5" fillId="7" borderId="2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4" fillId="8" borderId="0" xfId="0" applyFont="1" applyFill="1" applyAlignment="1">
      <alignment vertical="center"/>
    </xf>
    <xf numFmtId="165" fontId="5" fillId="0" borderId="9" xfId="0" applyNumberFormat="1" applyFont="1" applyBorder="1" applyAlignment="1">
      <alignment horizontal="left" vertical="center" wrapText="1" indent="1" readingOrder="1"/>
    </xf>
    <xf numFmtId="0" fontId="6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3" fillId="9" borderId="4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4" formatCode="&quot;₹&quot;\ #,##0"/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5CF6F"/>
      <color rgb="FFF664B4"/>
      <color rgb="FFFFFFFF"/>
      <color rgb="FF7E41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4F825-AE34-4EEF-A99C-E53065D27CD7}" name="Table1" displayName="Table1" ref="H13:J23" totalsRowShown="0" headerRowDxfId="20" headerRowBorderDxfId="19" tableBorderDxfId="18" totalsRowBorderDxfId="17">
  <autoFilter ref="H13:J23" xr:uid="{C1E4F825-AE34-4EEF-A99C-E53065D27CD7}"/>
  <tableColumns count="3">
    <tableColumn id="1" xr3:uid="{40AD69B1-D25F-4B7B-B417-B9DBA3E0225B}" name="Region" dataDxfId="16"/>
    <tableColumn id="2" xr3:uid="{43D5BD3A-D65C-46C1-9255-54E0B32480D4}" name="Category" dataDxfId="15"/>
    <tableColumn id="3" xr3:uid="{78442CF9-55E4-4D71-91D8-5414A34F3BC3}" name="Produc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02940F-B1A4-40D1-8902-76722DDF5908}" name="Table2" displayName="Table2" ref="L13:N23" totalsRowShown="0" headerRowDxfId="13" headerRowBorderDxfId="12" tableBorderDxfId="11" totalsRowBorderDxfId="10">
  <autoFilter ref="L13:N23" xr:uid="{4D02940F-B1A4-40D1-8902-76722DDF5908}"/>
  <tableColumns count="3">
    <tableColumn id="1" xr3:uid="{77B332C6-56EA-4AE7-91FC-282D28156932}" name="Sales" dataDxfId="9"/>
    <tableColumn id="2" xr3:uid="{BF5E1F96-9496-4EA6-A93F-D66555B1D021}" name="Quantity" dataDxfId="8"/>
    <tableColumn id="3" xr3:uid="{3DE8088E-5847-4857-926B-C9F341C86240}" name="Profi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16EF-1072-438C-AFF9-E4385BACF0F0}">
  <dimension ref="D2:O37"/>
  <sheetViews>
    <sheetView showGridLines="0" tabSelected="1" zoomScale="71" zoomScaleNormal="120" workbookViewId="0">
      <selection activeCell="B5" sqref="B5"/>
    </sheetView>
  </sheetViews>
  <sheetFormatPr defaultRowHeight="14.4" x14ac:dyDescent="0.3"/>
  <cols>
    <col min="4" max="4" width="10.33203125" customWidth="1"/>
    <col min="5" max="5" width="17.44140625" bestFit="1" customWidth="1"/>
    <col min="6" max="6" width="17.44140625" customWidth="1"/>
    <col min="8" max="8" width="10.77734375" customWidth="1"/>
    <col min="9" max="9" width="13.5546875" style="6" customWidth="1"/>
    <col min="10" max="10" width="13.44140625" customWidth="1"/>
    <col min="12" max="12" width="14.109375" bestFit="1" customWidth="1"/>
    <col min="13" max="13" width="10.44140625" customWidth="1"/>
    <col min="14" max="14" width="12.33203125" customWidth="1"/>
  </cols>
  <sheetData>
    <row r="2" spans="4:15" ht="15" thickBot="1" x14ac:dyDescent="0.35"/>
    <row r="3" spans="4:15" x14ac:dyDescent="0.3">
      <c r="D3" s="43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4:15" ht="28.8" x14ac:dyDescent="0.3">
      <c r="D4" s="46" t="s">
        <v>0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</row>
    <row r="5" spans="4:15" x14ac:dyDescent="0.3"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1"/>
    </row>
    <row r="6" spans="4:15" x14ac:dyDescent="0.3">
      <c r="D6" s="1"/>
      <c r="O6" s="2"/>
    </row>
    <row r="7" spans="4:15" ht="21.6" customHeight="1" x14ac:dyDescent="0.3">
      <c r="D7" s="52" t="s">
        <v>1</v>
      </c>
      <c r="E7" s="53"/>
      <c r="F7" s="53"/>
      <c r="H7" s="54" t="s">
        <v>2</v>
      </c>
      <c r="I7" s="53"/>
      <c r="J7" s="53"/>
      <c r="L7" s="54" t="str">
        <f>"Total Profit = ₹ " &amp; TEXT(62976, "#,##,##0")</f>
        <v>Total Profit = ₹ 62,976</v>
      </c>
      <c r="M7" s="55"/>
      <c r="N7" s="55"/>
      <c r="O7" s="2"/>
    </row>
    <row r="8" spans="4:15" ht="15" thickBot="1" x14ac:dyDescent="0.35">
      <c r="D8" s="5"/>
      <c r="E8" s="3"/>
      <c r="F8" s="3"/>
      <c r="G8" s="3"/>
      <c r="H8" s="3"/>
      <c r="I8" s="7"/>
      <c r="J8" s="3"/>
      <c r="K8" s="3"/>
      <c r="L8" s="3"/>
      <c r="M8" s="3"/>
      <c r="N8" s="3"/>
      <c r="O8" s="4"/>
    </row>
    <row r="9" spans="4:15" x14ac:dyDescent="0.3">
      <c r="D9" s="1"/>
      <c r="O9" s="2"/>
    </row>
    <row r="10" spans="4:15" x14ac:dyDescent="0.3">
      <c r="D10" s="36" t="s">
        <v>40</v>
      </c>
      <c r="E10" s="37"/>
      <c r="F10" s="37"/>
      <c r="H10" s="39" t="s">
        <v>41</v>
      </c>
      <c r="I10" s="40"/>
      <c r="J10" s="40"/>
      <c r="L10" s="41" t="s">
        <v>42</v>
      </c>
      <c r="M10" s="41"/>
      <c r="N10" s="41"/>
      <c r="O10" s="2"/>
    </row>
    <row r="11" spans="4:15" x14ac:dyDescent="0.3">
      <c r="D11" s="38"/>
      <c r="E11" s="37"/>
      <c r="F11" s="37"/>
      <c r="H11" s="40"/>
      <c r="I11" s="40"/>
      <c r="J11" s="40"/>
      <c r="L11" s="41"/>
      <c r="M11" s="41"/>
      <c r="N11" s="41"/>
      <c r="O11" s="2"/>
    </row>
    <row r="12" spans="4:15" ht="15" thickBot="1" x14ac:dyDescent="0.35">
      <c r="D12" s="1"/>
      <c r="K12" s="6"/>
      <c r="O12" s="2"/>
    </row>
    <row r="13" spans="4:15" x14ac:dyDescent="0.3">
      <c r="D13" s="9" t="s">
        <v>3</v>
      </c>
      <c r="E13" s="10" t="s">
        <v>4</v>
      </c>
      <c r="F13" s="11" t="s">
        <v>5</v>
      </c>
      <c r="H13" s="19" t="s">
        <v>6</v>
      </c>
      <c r="I13" s="20" t="s">
        <v>7</v>
      </c>
      <c r="J13" s="21" t="s">
        <v>8</v>
      </c>
      <c r="L13" s="19" t="s">
        <v>9</v>
      </c>
      <c r="M13" s="20" t="s">
        <v>10</v>
      </c>
      <c r="N13" s="21" t="s">
        <v>11</v>
      </c>
      <c r="O13" s="2"/>
    </row>
    <row r="14" spans="4:15" ht="27.6" x14ac:dyDescent="0.3">
      <c r="D14" s="12">
        <v>1001</v>
      </c>
      <c r="E14" s="35">
        <v>45292</v>
      </c>
      <c r="F14" s="14" t="s">
        <v>36</v>
      </c>
      <c r="H14" s="29" t="s">
        <v>12</v>
      </c>
      <c r="I14" s="30" t="s">
        <v>13</v>
      </c>
      <c r="J14" s="31" t="s">
        <v>14</v>
      </c>
      <c r="L14" s="27">
        <v>91000</v>
      </c>
      <c r="M14" s="8">
        <v>2</v>
      </c>
      <c r="N14" s="25">
        <v>11000</v>
      </c>
      <c r="O14" s="2"/>
    </row>
    <row r="15" spans="4:15" x14ac:dyDescent="0.3">
      <c r="D15" s="12">
        <v>1002</v>
      </c>
      <c r="E15" s="35">
        <v>45293</v>
      </c>
      <c r="F15" s="14" t="s">
        <v>15</v>
      </c>
      <c r="H15" s="17" t="s">
        <v>16</v>
      </c>
      <c r="I15" s="8" t="s">
        <v>17</v>
      </c>
      <c r="J15" s="18" t="s">
        <v>18</v>
      </c>
      <c r="L15" s="27">
        <v>45000</v>
      </c>
      <c r="M15" s="8">
        <v>1</v>
      </c>
      <c r="N15" s="25">
        <v>5000</v>
      </c>
      <c r="O15" s="2"/>
    </row>
    <row r="16" spans="4:15" ht="27.6" x14ac:dyDescent="0.3">
      <c r="D16" s="12">
        <v>1003</v>
      </c>
      <c r="E16" s="35">
        <v>45294</v>
      </c>
      <c r="F16" s="14" t="s">
        <v>37</v>
      </c>
      <c r="H16" s="32" t="s">
        <v>19</v>
      </c>
      <c r="I16" s="30" t="s">
        <v>20</v>
      </c>
      <c r="J16" s="31" t="s">
        <v>21</v>
      </c>
      <c r="L16" s="27">
        <v>55000</v>
      </c>
      <c r="M16" s="8">
        <v>3</v>
      </c>
      <c r="N16" s="25">
        <v>4500</v>
      </c>
      <c r="O16" s="2"/>
    </row>
    <row r="17" spans="4:15" x14ac:dyDescent="0.3">
      <c r="D17" s="12">
        <v>1004</v>
      </c>
      <c r="E17" s="35">
        <v>45295</v>
      </c>
      <c r="F17" s="14" t="s">
        <v>22</v>
      </c>
      <c r="H17" s="17" t="s">
        <v>23</v>
      </c>
      <c r="I17" s="8" t="s">
        <v>13</v>
      </c>
      <c r="J17" s="18" t="s">
        <v>24</v>
      </c>
      <c r="L17" s="27">
        <v>92000</v>
      </c>
      <c r="M17" s="8">
        <v>5</v>
      </c>
      <c r="N17" s="25">
        <v>12000</v>
      </c>
      <c r="O17" s="2"/>
    </row>
    <row r="18" spans="4:15" x14ac:dyDescent="0.3">
      <c r="D18" s="12">
        <v>1005</v>
      </c>
      <c r="E18" s="35">
        <v>45296</v>
      </c>
      <c r="F18" s="14" t="s">
        <v>25</v>
      </c>
      <c r="H18" s="32" t="s">
        <v>12</v>
      </c>
      <c r="I18" s="30" t="s">
        <v>17</v>
      </c>
      <c r="J18" s="31" t="s">
        <v>26</v>
      </c>
      <c r="L18" s="27">
        <v>65000</v>
      </c>
      <c r="M18" s="8">
        <v>1</v>
      </c>
      <c r="N18" s="25">
        <v>6000</v>
      </c>
      <c r="O18" s="2"/>
    </row>
    <row r="19" spans="4:15" ht="27.6" x14ac:dyDescent="0.3">
      <c r="D19" s="12">
        <v>1006</v>
      </c>
      <c r="E19" s="35">
        <v>45297</v>
      </c>
      <c r="F19" s="14" t="s">
        <v>27</v>
      </c>
      <c r="H19" s="17" t="s">
        <v>28</v>
      </c>
      <c r="I19" s="8" t="s">
        <v>20</v>
      </c>
      <c r="J19" s="18" t="s">
        <v>29</v>
      </c>
      <c r="L19" s="27">
        <v>35000</v>
      </c>
      <c r="M19" s="8">
        <v>2</v>
      </c>
      <c r="N19" s="25">
        <v>10000</v>
      </c>
      <c r="O19" s="2"/>
    </row>
    <row r="20" spans="4:15" ht="27.6" x14ac:dyDescent="0.3">
      <c r="D20" s="12">
        <v>1007</v>
      </c>
      <c r="E20" s="35">
        <v>45298</v>
      </c>
      <c r="F20" s="14" t="s">
        <v>15</v>
      </c>
      <c r="H20" s="32" t="s">
        <v>23</v>
      </c>
      <c r="I20" s="30" t="s">
        <v>13</v>
      </c>
      <c r="J20" s="31" t="s">
        <v>30</v>
      </c>
      <c r="L20" s="27">
        <v>40000</v>
      </c>
      <c r="M20" s="8">
        <v>2</v>
      </c>
      <c r="N20" s="25">
        <v>999</v>
      </c>
      <c r="O20" s="2"/>
    </row>
    <row r="21" spans="4:15" ht="27.6" x14ac:dyDescent="0.3">
      <c r="D21" s="12">
        <v>1008</v>
      </c>
      <c r="E21" s="35">
        <v>45299</v>
      </c>
      <c r="F21" s="14" t="s">
        <v>38</v>
      </c>
      <c r="H21" s="17" t="s">
        <v>16</v>
      </c>
      <c r="I21" s="8" t="s">
        <v>20</v>
      </c>
      <c r="J21" s="18" t="s">
        <v>31</v>
      </c>
      <c r="L21" s="27">
        <v>98000</v>
      </c>
      <c r="M21" s="8">
        <v>10</v>
      </c>
      <c r="N21" s="25">
        <v>879</v>
      </c>
      <c r="O21" s="2"/>
    </row>
    <row r="22" spans="4:15" ht="15" customHeight="1" x14ac:dyDescent="0.3">
      <c r="D22" s="12">
        <v>1009</v>
      </c>
      <c r="E22" s="35">
        <v>45300</v>
      </c>
      <c r="F22" s="14" t="s">
        <v>32</v>
      </c>
      <c r="H22" s="32" t="s">
        <v>19</v>
      </c>
      <c r="I22" s="30" t="s">
        <v>17</v>
      </c>
      <c r="J22" s="31" t="s">
        <v>33</v>
      </c>
      <c r="L22" s="27">
        <v>70000</v>
      </c>
      <c r="M22" s="8">
        <v>4</v>
      </c>
      <c r="N22" s="25">
        <v>12000</v>
      </c>
      <c r="O22" s="2"/>
    </row>
    <row r="23" spans="4:15" ht="24" customHeight="1" thickBot="1" x14ac:dyDescent="0.35">
      <c r="D23" s="13">
        <v>1010</v>
      </c>
      <c r="E23" s="35">
        <v>45301</v>
      </c>
      <c r="F23" s="15" t="s">
        <v>34</v>
      </c>
      <c r="H23" s="22" t="s">
        <v>28</v>
      </c>
      <c r="I23" s="23" t="s">
        <v>13</v>
      </c>
      <c r="J23" s="24" t="s">
        <v>35</v>
      </c>
      <c r="L23" s="28">
        <v>52000</v>
      </c>
      <c r="M23" s="23">
        <v>3</v>
      </c>
      <c r="N23" s="26">
        <v>598</v>
      </c>
      <c r="O23" s="2"/>
    </row>
    <row r="24" spans="4:15" x14ac:dyDescent="0.3">
      <c r="D24" s="1"/>
      <c r="G24" s="33"/>
      <c r="H24" s="16"/>
      <c r="O24" s="2" t="s">
        <v>39</v>
      </c>
    </row>
    <row r="25" spans="4:15" x14ac:dyDescent="0.3">
      <c r="D25" s="1"/>
      <c r="E25" s="42" t="str">
        <f>"Overall Total = ₹ " &amp; TEXT(643000, "#,##,##0")</f>
        <v>Overall Total = ₹ 6,43,000</v>
      </c>
      <c r="F25" s="42"/>
      <c r="I25" s="42" t="s">
        <v>43</v>
      </c>
      <c r="J25" s="42"/>
      <c r="L25" s="34" t="str">
        <f>L7</f>
        <v>Total Profit = ₹ 62,976</v>
      </c>
      <c r="M25" s="34"/>
      <c r="O25" s="2"/>
    </row>
    <row r="26" spans="4:15" x14ac:dyDescent="0.3">
      <c r="D26" s="1"/>
      <c r="O26" s="2"/>
    </row>
    <row r="27" spans="4:15" ht="15" thickBot="1" x14ac:dyDescent="0.35"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</row>
    <row r="28" spans="4:15" x14ac:dyDescent="0.3">
      <c r="I28"/>
    </row>
    <row r="29" spans="4:15" x14ac:dyDescent="0.3">
      <c r="I29"/>
    </row>
    <row r="30" spans="4:15" x14ac:dyDescent="0.3">
      <c r="I30"/>
    </row>
    <row r="31" spans="4:15" x14ac:dyDescent="0.3">
      <c r="I31"/>
    </row>
    <row r="32" spans="4:15" x14ac:dyDescent="0.3">
      <c r="I32"/>
    </row>
    <row r="33" spans="9:9" x14ac:dyDescent="0.3">
      <c r="I33"/>
    </row>
    <row r="34" spans="9:9" x14ac:dyDescent="0.3">
      <c r="I34"/>
    </row>
    <row r="35" spans="9:9" x14ac:dyDescent="0.3">
      <c r="I35"/>
    </row>
    <row r="36" spans="9:9" x14ac:dyDescent="0.3">
      <c r="I36"/>
    </row>
    <row r="37" spans="9:9" x14ac:dyDescent="0.3">
      <c r="I37"/>
    </row>
  </sheetData>
  <autoFilter ref="D13:F23" xr:uid="{A7F116EF-1072-438C-AFF9-E4385BACF0F0}"/>
  <mergeCells count="11">
    <mergeCell ref="D3:O3"/>
    <mergeCell ref="D4:O4"/>
    <mergeCell ref="D5:O5"/>
    <mergeCell ref="D7:F7"/>
    <mergeCell ref="H7:J7"/>
    <mergeCell ref="L7:N7"/>
    <mergeCell ref="D10:F11"/>
    <mergeCell ref="H10:J11"/>
    <mergeCell ref="L10:N11"/>
    <mergeCell ref="I25:J25"/>
    <mergeCell ref="E25:F25"/>
  </mergeCells>
  <conditionalFormatting sqref="F14:F23">
    <cfRule type="duplicateValues" dxfId="6" priority="3"/>
    <cfRule type="duplicateValues" dxfId="5" priority="4"/>
  </conditionalFormatting>
  <conditionalFormatting sqref="L14:L23">
    <cfRule type="cellIs" dxfId="4" priority="7" operator="lessThan">
      <formula>50000</formula>
    </cfRule>
    <cfRule type="cellIs" dxfId="3" priority="8" operator="between">
      <formula>50000</formula>
      <formula>90000</formula>
    </cfRule>
    <cfRule type="cellIs" dxfId="2" priority="9" operator="greaterThan">
      <formula>90000</formula>
    </cfRule>
  </conditionalFormatting>
  <conditionalFormatting sqref="N14:N23">
    <cfRule type="iconSet" priority="1">
      <iconSet iconSet="3Arrows">
        <cfvo type="percent" val="0"/>
        <cfvo type="num" val="5000"/>
        <cfvo type="num" val="10000" gte="0"/>
      </iconSet>
    </cfRule>
    <cfRule type="cellIs" dxfId="1" priority="5" operator="lessThan">
      <formula>1000</formula>
    </cfRule>
    <cfRule type="cellIs" dxfId="0" priority="6" operator="greaterThan">
      <formula>10000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Hanumanthu Uday Kiran</dc:creator>
  <cp:lastModifiedBy>Hanumanthu Uday Kiran</cp:lastModifiedBy>
  <dcterms:created xsi:type="dcterms:W3CDTF">2026-04-13T06:21:09Z</dcterms:created>
  <dcterms:modified xsi:type="dcterms:W3CDTF">2026-04-14T04:04:01Z</dcterms:modified>
</cp:coreProperties>
</file>