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Code\Excel BC\Assingments\"/>
    </mc:Choice>
  </mc:AlternateContent>
  <xr:revisionPtr revIDLastSave="0" documentId="8_{5CEB7736-E149-4C69-8CAD-3116BC186B38}" xr6:coauthVersionLast="47" xr6:coauthVersionMax="47" xr10:uidLastSave="{00000000-0000-0000-0000-000000000000}"/>
  <bookViews>
    <workbookView xWindow="-108" yWindow="-108" windowWidth="23256" windowHeight="12456" activeTab="2" xr2:uid="{A33B52C9-F59C-493B-BA76-0AD8C45CAB05}"/>
  </bookViews>
  <sheets>
    <sheet name="Dataset" sheetId="2" r:id="rId1"/>
    <sheet name="Instructions" sheetId="1" r:id="rId2"/>
    <sheet name="D-5 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5" i="3"/>
  <c r="I24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6" i="3"/>
  <c r="I5" i="3"/>
  <c r="P5" i="3"/>
  <c r="Q5" i="3" l="1"/>
  <c r="R5" i="3" s="1"/>
  <c r="S5" i="3" s="1"/>
</calcChain>
</file>

<file path=xl/sharedStrings.xml><?xml version="1.0" encoding="utf-8"?>
<sst xmlns="http://schemas.openxmlformats.org/spreadsheetml/2006/main" count="290" uniqueCount="188">
  <si>
    <t>First Name</t>
  </si>
  <si>
    <t>Last Name</t>
  </si>
  <si>
    <t>Salary</t>
  </si>
  <si>
    <t>Bonus</t>
  </si>
  <si>
    <t>Month</t>
  </si>
  <si>
    <t>Ravi</t>
  </si>
  <si>
    <t>Kumar</t>
  </si>
  <si>
    <t>Jan</t>
  </si>
  <si>
    <t>Sneha</t>
  </si>
  <si>
    <t>Rani</t>
  </si>
  <si>
    <t>Feb</t>
  </si>
  <si>
    <t>Ankit</t>
  </si>
  <si>
    <t>Verma</t>
  </si>
  <si>
    <t>Mar</t>
  </si>
  <si>
    <t>Priya</t>
  </si>
  <si>
    <t>Meena</t>
  </si>
  <si>
    <t>Apr</t>
  </si>
  <si>
    <t>Deepak</t>
  </si>
  <si>
    <t>Yadav</t>
  </si>
  <si>
    <t>May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</si>
  <si>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Full Name</t>
    </r>
  </si>
  <si>
    <r>
      <t xml:space="preserve">Combine First Name and Last Name manually for first row → </t>
    </r>
    <r>
      <rPr>
        <sz val="10"/>
        <color theme="1"/>
        <rFont val="Arial Unicode MS"/>
      </rPr>
      <t>Ravi Kumar</t>
    </r>
  </si>
  <si>
    <r>
      <t xml:space="preserve">Use </t>
    </r>
    <r>
      <rPr>
        <b/>
        <sz val="11"/>
        <color theme="1"/>
        <rFont val="Calibri"/>
        <family val="2"/>
        <scheme val="minor"/>
      </rPr>
      <t>Flash Fill (Ctrl + E)</t>
    </r>
    <r>
      <rPr>
        <sz val="11"/>
        <color theme="1"/>
        <rFont val="Calibri"/>
        <family val="2"/>
        <scheme val="minor"/>
      </rPr>
      <t xml:space="preserve"> to fill remaining rows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</si>
  <si>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Email</t>
    </r>
  </si>
  <si>
    <t>Format: firstname.lastname@gmail.com (Example: ravi.kumar@gmail.com)</t>
  </si>
  <si>
    <t>Use Flash Fill to complete all rows</t>
  </si>
  <si>
    <t>Task1:</t>
  </si>
  <si>
    <t>Task2:</t>
  </si>
  <si>
    <t>Task3:</t>
  </si>
  <si>
    <r>
      <t xml:space="preserve">Create a column </t>
    </r>
    <r>
      <rPr>
        <b/>
        <sz val="11"/>
        <color theme="1"/>
        <rFont val="Calibri"/>
        <family val="2"/>
        <scheme val="minor"/>
      </rPr>
      <t>Employee ID</t>
    </r>
  </si>
  <si>
    <r>
      <t xml:space="preserve">Start with </t>
    </r>
    <r>
      <rPr>
        <sz val="10"/>
        <color theme="1"/>
        <rFont val="Arial Unicode MS"/>
      </rPr>
      <t>EMP001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</si>
  <si>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Series</t>
    </r>
    <r>
      <rPr>
        <sz val="11"/>
        <color theme="1"/>
        <rFont val="Calibri"/>
        <family val="2"/>
        <scheme val="minor"/>
      </rPr>
      <t xml:space="preserve"> to generate next values:</t>
    </r>
  </si>
  <si>
    <t>Task4:</t>
  </si>
  <si>
    <r>
      <t xml:space="preserve">Extend the Month column till </t>
    </r>
    <r>
      <rPr>
        <b/>
        <sz val="11"/>
        <color theme="1"/>
        <rFont val="Calibri"/>
        <family val="2"/>
        <scheme val="minor"/>
      </rPr>
      <t>December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</si>
  <si>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Handle (drag)</t>
    </r>
    <r>
      <rPr>
        <sz val="11"/>
        <color theme="1"/>
        <rFont val="Calibri"/>
        <family val="2"/>
        <scheme val="minor"/>
      </rPr>
      <t xml:space="preserve"> to auto-fill months</t>
    </r>
  </si>
  <si>
    <t>Task5:</t>
  </si>
  <si>
    <t>Create the following columns:</t>
  </si>
  <si>
    <t>Total Salary</t>
  </si>
  <si>
    <t>Salary+ Bonus</t>
  </si>
  <si>
    <t>Annual Salary</t>
  </si>
  <si>
    <t>Total_salary*12</t>
  </si>
  <si>
    <t>Tax(10%)</t>
  </si>
  <si>
    <t>Total_salary*10%</t>
  </si>
  <si>
    <t>Final Salary after Tax</t>
  </si>
  <si>
    <t>Total_salary-Tax</t>
  </si>
  <si>
    <t>Task6:</t>
  </si>
  <si>
    <t>Increase bonus by 500 for all employees</t>
  </si>
  <si>
    <t>Create New Column as Updated Bonus</t>
  </si>
  <si>
    <t>Bonus+500</t>
  </si>
  <si>
    <t>Create a New Columns as Performance Score</t>
  </si>
  <si>
    <t>Salary/1000</t>
  </si>
  <si>
    <t>Create a new column as USER ID</t>
  </si>
  <si>
    <t>Create user id as (First 2 letters of First Name + Last 2 letters of Last Name): Ex: Ravi Kumar -- Raar</t>
  </si>
  <si>
    <t>Task7:</t>
  </si>
  <si>
    <t>Instructions</t>
  </si>
  <si>
    <t>Pooja</t>
  </si>
  <si>
    <t>Sharma</t>
  </si>
  <si>
    <t>Jun</t>
  </si>
  <si>
    <t>Kiran</t>
  </si>
  <si>
    <t>Reddy</t>
  </si>
  <si>
    <t>Jul</t>
  </si>
  <si>
    <t>Neha</t>
  </si>
  <si>
    <t>Singh</t>
  </si>
  <si>
    <t>Aug</t>
  </si>
  <si>
    <t>Rahul</t>
  </si>
  <si>
    <t>Das</t>
  </si>
  <si>
    <t>Sep</t>
  </si>
  <si>
    <t>Suresh</t>
  </si>
  <si>
    <t>Naidu</t>
  </si>
  <si>
    <t>Oct</t>
  </si>
  <si>
    <t>Kavya</t>
  </si>
  <si>
    <t>Iyer</t>
  </si>
  <si>
    <t>Nov</t>
  </si>
  <si>
    <t>Arjun</t>
  </si>
  <si>
    <t>Patel</t>
  </si>
  <si>
    <t>Dec</t>
  </si>
  <si>
    <t>Divya</t>
  </si>
  <si>
    <t>Nair</t>
  </si>
  <si>
    <t>Manoj</t>
  </si>
  <si>
    <t>Gupta</t>
  </si>
  <si>
    <t>Rekha</t>
  </si>
  <si>
    <t>Jain</t>
  </si>
  <si>
    <t>Vikas</t>
  </si>
  <si>
    <t>Shetty</t>
  </si>
  <si>
    <t>Pillai</t>
  </si>
  <si>
    <t>Ajay</t>
  </si>
  <si>
    <t>Kulkarni</t>
  </si>
  <si>
    <t>Swathi</t>
  </si>
  <si>
    <t>Rao</t>
  </si>
  <si>
    <t>Nikhil</t>
  </si>
  <si>
    <t>Choudhary</t>
  </si>
  <si>
    <t>Task-1</t>
  </si>
  <si>
    <t>Full Name</t>
  </si>
  <si>
    <t>Ravi Kumar</t>
  </si>
  <si>
    <t>Sneha Rani</t>
  </si>
  <si>
    <t xml:space="preserve"> </t>
  </si>
  <si>
    <t>Ankit Verma</t>
  </si>
  <si>
    <t>Priya Meena</t>
  </si>
  <si>
    <t>Deepak Yadav</t>
  </si>
  <si>
    <t>Pooja Sharma</t>
  </si>
  <si>
    <t>Kiran Reddy</t>
  </si>
  <si>
    <t>Neha Singh</t>
  </si>
  <si>
    <t>Rahul Das</t>
  </si>
  <si>
    <t>Suresh Naidu</t>
  </si>
  <si>
    <t>Kavya Iyer</t>
  </si>
  <si>
    <t>Arjun Patel</t>
  </si>
  <si>
    <t>Divya Nair</t>
  </si>
  <si>
    <t>Manoj Gupta</t>
  </si>
  <si>
    <t>Rekha Jain</t>
  </si>
  <si>
    <t>Vikas Shetty</t>
  </si>
  <si>
    <t>Meena Pillai</t>
  </si>
  <si>
    <t>Ajay Kulkarni</t>
  </si>
  <si>
    <t>Swathi Rao</t>
  </si>
  <si>
    <t>Nikhil Choudhary</t>
  </si>
  <si>
    <t>Email</t>
  </si>
  <si>
    <t>ravi.kumar@gmail.com</t>
  </si>
  <si>
    <t>sneha.rani@gmail.com</t>
  </si>
  <si>
    <t>ankit.verma@gmail.com</t>
  </si>
  <si>
    <t>priya.meena@gmail.com</t>
  </si>
  <si>
    <t>deepak.yadav@gmail.com</t>
  </si>
  <si>
    <t>pooja.sharma@gmail.com</t>
  </si>
  <si>
    <t>kiran.reddy@gmail.com</t>
  </si>
  <si>
    <t>neha.singh@gmail.com</t>
  </si>
  <si>
    <t>rahul.das@gmail.com</t>
  </si>
  <si>
    <t>suresh.naidu@gmail.com</t>
  </si>
  <si>
    <t>kavya.iyer@gmail.com</t>
  </si>
  <si>
    <t>arjun.patel@gmail.com</t>
  </si>
  <si>
    <t>divya.nair@gmail.com</t>
  </si>
  <si>
    <t>manoj.gupta@gmail.com</t>
  </si>
  <si>
    <t>rekha.jain@gmail.com</t>
  </si>
  <si>
    <t>vikas.shetty@gmail.com</t>
  </si>
  <si>
    <t>meena.pillai@gmail.com</t>
  </si>
  <si>
    <t>ajay.kulkarni@gmail.com</t>
  </si>
  <si>
    <t>swathi.rao@gmail.com</t>
  </si>
  <si>
    <t>nikhil.choudhary@gmail.com</t>
  </si>
  <si>
    <t>Employee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</si>
  <si>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</si>
  <si>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</si>
  <si>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</si>
  <si>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</si>
  <si>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</si>
  <si>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</si>
  <si>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</si>
  <si>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</si>
  <si>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</si>
  <si>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</si>
  <si>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</si>
  <si>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</si>
  <si>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</si>
  <si>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</si>
  <si>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</si>
  <si>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</si>
  <si>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</si>
  <si>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</si>
  <si>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</si>
  <si>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</si>
  <si>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USER ID</t>
  </si>
  <si>
    <t>Raar</t>
  </si>
  <si>
    <t>Sni</t>
  </si>
  <si>
    <t>Anma</t>
  </si>
  <si>
    <t>Prna</t>
  </si>
  <si>
    <t>Deav</t>
  </si>
  <si>
    <t>Porma</t>
  </si>
  <si>
    <t>Kidy</t>
  </si>
  <si>
    <t>Negh</t>
  </si>
  <si>
    <t>Ra</t>
  </si>
  <si>
    <t>Sudu</t>
  </si>
  <si>
    <t>Kar</t>
  </si>
  <si>
    <t>Arel</t>
  </si>
  <si>
    <t>Dir</t>
  </si>
  <si>
    <t>Mata</t>
  </si>
  <si>
    <t>Ren</t>
  </si>
  <si>
    <t>Vitty</t>
  </si>
  <si>
    <t>Melai</t>
  </si>
  <si>
    <t>Ajkarni</t>
  </si>
  <si>
    <t>Sw</t>
  </si>
  <si>
    <t>Niudhary</t>
  </si>
  <si>
    <t>Task-2</t>
  </si>
  <si>
    <t>Task-3</t>
  </si>
  <si>
    <t>Task-4</t>
  </si>
  <si>
    <t>Task-5</t>
  </si>
  <si>
    <t>Task-6</t>
  </si>
  <si>
    <t>Tax 10%</t>
  </si>
  <si>
    <t>After Tax</t>
  </si>
  <si>
    <t>Updated Bonus</t>
  </si>
  <si>
    <t>Performance Score</t>
  </si>
  <si>
    <t>Task-7.1</t>
  </si>
  <si>
    <t>Task-7.2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</si>
</sst>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/>
    <xf numFmtId="0" fontId="0" fillId="0" borderId="0" xfId="0" applyFill="1"/>
    <xf numFmtId="0" fontId="5" fillId="0" borderId="1" xfId="1" applyBorder="1"/>
    <xf numFmtId="0" fontId="0" fillId="0" borderId="0" xfId="0" applyFill="1" applyBorder="1"/>
    <xf numFmtId="0" fontId="1" fillId="2" borderId="14" xfId="0" applyFont="1" applyFill="1" applyBorder="1"/>
    <xf numFmtId="0" fontId="1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12701</xdr:colOff>
      <xdr:row>3</xdr:row>
      <xdr:rowOff>0</xdr:rowOff>
    </xdr:from>
    <xdr:to>
      <xdr:col>3</xdr:col>
      <xdr:colOff>1809751</xdr:colOff>
      <xdr:row>6</xdr:row>
      <xdr:rowOff>145361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CF5A9-438D-FC4B-A3C4-05307BE25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1601" y="552450"/>
          <a:ext cx="1797050" cy="69781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E71B-8005-47E0-8D94-C962DFF44756}">
  <sheetPr>
    <tabColor theme="6" tint="0.39997558519241921"/>
  </sheetPr>
  <dimension ref="B2:F22"/>
  <sheetViews>
    <sheetView showGridLines="0" workbookViewId="0">
      <selection activeCell="C23" sqref="C23"/>
    </sheetView>
  </sheetViews>
  <sheetFormatPr defaultRowHeight="14.4"/>
  <cols>
    <col min="2" max="5" width="13.6640625" customWidth="1"/>
    <col min="6" max="6" width="16.33203125" customWidth="1"/>
  </cols>
  <sheetData>
    <row r="2" spans="2: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>
      <c r="B3" s="1" t="s">
        <v>5</v>
      </c>
      <c r="C3" s="1" t="s">
        <v>6</v>
      </c>
      <c r="D3" s="1">
        <v>25000</v>
      </c>
      <c r="E3" s="1">
        <v>2000</v>
      </c>
      <c r="F3" s="1" t="s">
        <v>7</v>
      </c>
    </row>
    <row r="4" spans="2:6">
      <c r="B4" s="1" t="s">
        <v>8</v>
      </c>
      <c r="C4" s="1" t="s">
        <v>9</v>
      </c>
      <c r="D4" s="1">
        <v>30000</v>
      </c>
      <c r="E4" s="1">
        <v>2500</v>
      </c>
      <c r="F4" s="1" t="s">
        <v>10</v>
      </c>
    </row>
    <row r="5" spans="2:6">
      <c r="B5" s="1" t="s">
        <v>11</v>
      </c>
      <c r="C5" s="1" t="s">
        <v>12</v>
      </c>
      <c r="D5" s="1">
        <v>28000</v>
      </c>
      <c r="E5" s="1">
        <v>1800</v>
      </c>
      <c r="F5" s="1" t="s">
        <v>13</v>
      </c>
    </row>
    <row r="6" spans="2:6">
      <c r="B6" s="1" t="s">
        <v>14</v>
      </c>
      <c r="C6" s="1" t="s">
        <v>15</v>
      </c>
      <c r="D6" s="1">
        <v>32000</v>
      </c>
      <c r="E6" s="1">
        <v>3000</v>
      </c>
      <c r="F6" s="1" t="s">
        <v>16</v>
      </c>
    </row>
    <row r="7" spans="2:6">
      <c r="B7" s="1" t="s">
        <v>17</v>
      </c>
      <c r="C7" s="1" t="s">
        <v>18</v>
      </c>
      <c r="D7" s="1">
        <v>27000</v>
      </c>
      <c r="E7" s="1">
        <v>2200</v>
      </c>
      <c r="F7" s="1" t="s">
        <v>19</v>
      </c>
    </row>
    <row r="8" spans="2:6">
      <c r="B8" s="1" t="s">
        <v>55</v>
      </c>
      <c r="C8" s="1" t="s">
        <v>56</v>
      </c>
      <c r="D8" s="1">
        <v>26000</v>
      </c>
      <c r="E8" s="1">
        <v>2100</v>
      </c>
      <c r="F8" s="1" t="s">
        <v>57</v>
      </c>
    </row>
    <row r="9" spans="2:6">
      <c r="B9" s="1" t="s">
        <v>58</v>
      </c>
      <c r="C9" s="1" t="s">
        <v>59</v>
      </c>
      <c r="D9" s="1">
        <v>31000</v>
      </c>
      <c r="E9" s="1">
        <v>2700</v>
      </c>
      <c r="F9" s="1" t="s">
        <v>60</v>
      </c>
    </row>
    <row r="10" spans="2:6">
      <c r="B10" s="1" t="s">
        <v>61</v>
      </c>
      <c r="C10" s="1" t="s">
        <v>62</v>
      </c>
      <c r="D10" s="1">
        <v>29000</v>
      </c>
      <c r="E10" s="1">
        <v>2400</v>
      </c>
      <c r="F10" s="1" t="s">
        <v>63</v>
      </c>
    </row>
    <row r="11" spans="2:6">
      <c r="B11" s="1" t="s">
        <v>64</v>
      </c>
      <c r="C11" s="1" t="s">
        <v>65</v>
      </c>
      <c r="D11" s="1">
        <v>27500</v>
      </c>
      <c r="E11" s="1">
        <v>1900</v>
      </c>
      <c r="F11" s="1" t="s">
        <v>66</v>
      </c>
    </row>
    <row r="12" spans="2:6">
      <c r="B12" s="1" t="s">
        <v>67</v>
      </c>
      <c r="C12" s="1" t="s">
        <v>68</v>
      </c>
      <c r="D12" s="1">
        <v>33000</v>
      </c>
      <c r="E12" s="1">
        <v>3200</v>
      </c>
      <c r="F12" s="1" t="s">
        <v>69</v>
      </c>
    </row>
    <row r="13" spans="2:6">
      <c r="B13" s="1" t="s">
        <v>70</v>
      </c>
      <c r="C13" s="1" t="s">
        <v>71</v>
      </c>
      <c r="D13" s="1">
        <v>30500</v>
      </c>
      <c r="E13" s="1">
        <v>2600</v>
      </c>
      <c r="F13" s="1" t="s">
        <v>72</v>
      </c>
    </row>
    <row r="14" spans="2:6">
      <c r="B14" s="1" t="s">
        <v>73</v>
      </c>
      <c r="C14" s="1" t="s">
        <v>74</v>
      </c>
      <c r="D14" s="1">
        <v>29500</v>
      </c>
      <c r="E14" s="1">
        <v>2300</v>
      </c>
      <c r="F14" s="1" t="s">
        <v>75</v>
      </c>
    </row>
    <row r="15" spans="2:6">
      <c r="B15" s="1" t="s">
        <v>76</v>
      </c>
      <c r="C15" s="1" t="s">
        <v>77</v>
      </c>
      <c r="D15" s="1">
        <v>28500</v>
      </c>
      <c r="E15" s="1">
        <v>2000</v>
      </c>
      <c r="F15" s="1" t="s">
        <v>7</v>
      </c>
    </row>
    <row r="16" spans="2:6">
      <c r="B16" s="1" t="s">
        <v>78</v>
      </c>
      <c r="C16" s="1" t="s">
        <v>79</v>
      </c>
      <c r="D16" s="1">
        <v>34000</v>
      </c>
      <c r="E16" s="1">
        <v>3500</v>
      </c>
      <c r="F16" s="1" t="s">
        <v>10</v>
      </c>
    </row>
    <row r="17" spans="2:6">
      <c r="B17" s="1" t="s">
        <v>80</v>
      </c>
      <c r="C17" s="1" t="s">
        <v>81</v>
      </c>
      <c r="D17" s="1">
        <v>26500</v>
      </c>
      <c r="E17" s="1">
        <v>1800</v>
      </c>
      <c r="F17" s="1" t="s">
        <v>13</v>
      </c>
    </row>
    <row r="18" spans="2:6">
      <c r="B18" s="1" t="s">
        <v>82</v>
      </c>
      <c r="C18" s="1" t="s">
        <v>83</v>
      </c>
      <c r="D18" s="1">
        <v>31500</v>
      </c>
      <c r="E18" s="1">
        <v>2900</v>
      </c>
      <c r="F18" s="1" t="s">
        <v>16</v>
      </c>
    </row>
    <row r="19" spans="2:6">
      <c r="B19" s="1" t="s">
        <v>15</v>
      </c>
      <c r="C19" s="1" t="s">
        <v>84</v>
      </c>
      <c r="D19" s="1">
        <v>27500</v>
      </c>
      <c r="E19" s="1">
        <v>2100</v>
      </c>
      <c r="F19" s="1" t="s">
        <v>19</v>
      </c>
    </row>
    <row r="20" spans="2:6">
      <c r="B20" s="1" t="s">
        <v>85</v>
      </c>
      <c r="C20" s="1" t="s">
        <v>86</v>
      </c>
      <c r="D20" s="1">
        <v>30000</v>
      </c>
      <c r="E20" s="1">
        <v>2500</v>
      </c>
      <c r="F20" s="1" t="s">
        <v>57</v>
      </c>
    </row>
    <row r="21" spans="2:6">
      <c r="B21" s="1" t="s">
        <v>87</v>
      </c>
      <c r="C21" s="1" t="s">
        <v>88</v>
      </c>
      <c r="D21" s="1">
        <v>28500</v>
      </c>
      <c r="E21" s="1">
        <v>2200</v>
      </c>
      <c r="F21" s="1" t="s">
        <v>60</v>
      </c>
    </row>
    <row r="22" spans="2:6">
      <c r="B22" s="1" t="s">
        <v>89</v>
      </c>
      <c r="C22" s="1" t="s">
        <v>90</v>
      </c>
      <c r="D22" s="1">
        <v>32500</v>
      </c>
      <c r="E22" s="1">
        <v>3000</v>
      </c>
      <c r="F22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44ED-8732-4229-9B6A-48353F132473}">
  <sheetPr>
    <tabColor theme="7" tint="0.39997558519241921"/>
  </sheetPr>
  <dimension ref="B2:D34"/>
  <sheetViews>
    <sheetView topLeftCell="A17" workbookViewId="0">
      <selection activeCell="C24" sqref="C24"/>
    </sheetView>
  </sheetViews>
  <sheetFormatPr defaultRowHeight="14.4"/>
  <cols>
    <col min="3" max="3" width="83.21875" bestFit="1" customWidth="1"/>
    <col min="4" max="4" width="28.6640625" customWidth="1"/>
  </cols>
  <sheetData>
    <row r="2" spans="2:4" ht="15" thickBot="1"/>
    <row r="3" spans="2:4" ht="15" thickBot="1">
      <c r="B3" s="12" t="s">
        <v>54</v>
      </c>
      <c r="C3" s="13"/>
      <c r="D3" s="14"/>
    </row>
    <row r="4" spans="2:4">
      <c r="B4" s="9" t="s">
        <v>26</v>
      </c>
      <c r="C4" s="10" t="s">
        <v>20</v>
      </c>
      <c r="D4" s="11"/>
    </row>
    <row r="5" spans="2:4">
      <c r="B5" s="5"/>
      <c r="C5" s="1" t="s">
        <v>21</v>
      </c>
      <c r="D5" s="4"/>
    </row>
    <row r="6" spans="2:4">
      <c r="B6" s="5"/>
      <c r="C6" s="1" t="s">
        <v>22</v>
      </c>
      <c r="D6" s="4"/>
    </row>
    <row r="7" spans="2:4">
      <c r="B7" s="5"/>
      <c r="C7" s="1"/>
      <c r="D7" s="4"/>
    </row>
    <row r="8" spans="2:4">
      <c r="B8" s="5"/>
      <c r="C8" s="17"/>
      <c r="D8" s="4"/>
    </row>
    <row r="9" spans="2:4">
      <c r="B9" s="3" t="s">
        <v>27</v>
      </c>
      <c r="C9" s="1" t="s">
        <v>23</v>
      </c>
      <c r="D9" s="4"/>
    </row>
    <row r="10" spans="2:4">
      <c r="B10" s="5"/>
      <c r="C10" s="1" t="s">
        <v>24</v>
      </c>
      <c r="D10" s="4"/>
    </row>
    <row r="11" spans="2:4">
      <c r="B11" s="5"/>
      <c r="C11" s="1" t="s">
        <v>25</v>
      </c>
      <c r="D11" s="4"/>
    </row>
    <row r="12" spans="2:4">
      <c r="B12" s="5"/>
      <c r="C12" s="1"/>
      <c r="D12" s="4"/>
    </row>
    <row r="13" spans="2:4">
      <c r="B13" s="3" t="s">
        <v>28</v>
      </c>
      <c r="C13" s="1" t="s">
        <v>29</v>
      </c>
      <c r="D13" s="4"/>
    </row>
    <row r="14" spans="2:4">
      <c r="B14" s="5"/>
      <c r="C14" s="1" t="s">
        <v>30</v>
      </c>
      <c r="D14" s="4"/>
    </row>
    <row r="15" spans="2:4">
      <c r="B15" s="5"/>
      <c r="C15" s="1" t="s">
        <v>31</v>
      </c>
      <c r="D15" s="4"/>
    </row>
    <row r="16" spans="2:4">
      <c r="B16" s="5"/>
      <c r="C16" s="1"/>
      <c r="D16" s="4"/>
    </row>
    <row r="17" spans="2:4">
      <c r="B17" s="3" t="s">
        <v>32</v>
      </c>
      <c r="C17" s="1" t="s">
        <v>51</v>
      </c>
      <c r="D17" s="4"/>
    </row>
    <row r="18" spans="2:4">
      <c r="B18" s="5"/>
      <c r="C18" s="1" t="s">
        <v>52</v>
      </c>
      <c r="D18" s="4"/>
    </row>
    <row r="19" spans="2:4">
      <c r="B19" s="5"/>
      <c r="C19" s="1"/>
      <c r="D19" s="4"/>
    </row>
    <row r="20" spans="2:4">
      <c r="B20" s="5"/>
      <c r="C20" s="1"/>
      <c r="D20" s="4"/>
    </row>
    <row r="21" spans="2:4">
      <c r="B21" s="3" t="s">
        <v>35</v>
      </c>
      <c r="C21" s="1" t="s">
        <v>33</v>
      </c>
      <c r="D21" s="4"/>
    </row>
    <row r="22" spans="2:4">
      <c r="B22" s="5"/>
      <c r="C22" s="1" t="s">
        <v>34</v>
      </c>
      <c r="D22" s="4"/>
    </row>
    <row r="23" spans="2:4">
      <c r="B23" s="5"/>
      <c r="C23" s="1"/>
      <c r="D23" s="4"/>
    </row>
    <row r="24" spans="2:4">
      <c r="B24" s="3" t="s">
        <v>45</v>
      </c>
      <c r="C24" s="1" t="s">
        <v>36</v>
      </c>
      <c r="D24" s="4"/>
    </row>
    <row r="25" spans="2:4">
      <c r="B25" s="5"/>
      <c r="C25" s="1" t="s">
        <v>37</v>
      </c>
      <c r="D25" s="4" t="s">
        <v>38</v>
      </c>
    </row>
    <row r="26" spans="2:4">
      <c r="B26" s="5"/>
      <c r="C26" s="1" t="s">
        <v>39</v>
      </c>
      <c r="D26" s="4" t="s">
        <v>40</v>
      </c>
    </row>
    <row r="27" spans="2:4">
      <c r="B27" s="5"/>
      <c r="C27" s="1" t="s">
        <v>41</v>
      </c>
      <c r="D27" s="4" t="s">
        <v>42</v>
      </c>
    </row>
    <row r="28" spans="2:4">
      <c r="B28" s="5"/>
      <c r="C28" s="1" t="s">
        <v>43</v>
      </c>
      <c r="D28" s="4" t="s">
        <v>44</v>
      </c>
    </row>
    <row r="29" spans="2:4">
      <c r="B29" s="5"/>
      <c r="C29" s="1"/>
      <c r="D29" s="4"/>
    </row>
    <row r="30" spans="2:4">
      <c r="B30" s="3" t="s">
        <v>53</v>
      </c>
      <c r="C30" s="1" t="s">
        <v>46</v>
      </c>
      <c r="D30" s="4"/>
    </row>
    <row r="31" spans="2:4">
      <c r="B31" s="5"/>
      <c r="C31" s="1" t="s">
        <v>47</v>
      </c>
      <c r="D31" s="4" t="s">
        <v>48</v>
      </c>
    </row>
    <row r="32" spans="2:4">
      <c r="B32" s="5"/>
      <c r="C32" s="1" t="s">
        <v>49</v>
      </c>
      <c r="D32" s="4" t="s">
        <v>50</v>
      </c>
    </row>
    <row r="33" spans="2:4">
      <c r="B33" s="5"/>
      <c r="C33" s="1"/>
      <c r="D33" s="4"/>
    </row>
    <row r="34" spans="2:4" ht="15" thickBot="1">
      <c r="B34" s="6"/>
      <c r="C34" s="7"/>
      <c r="D34" s="8"/>
    </row>
  </sheetData>
  <mergeCells count="1">
    <mergeCell ref="B3:D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D1BF-2663-4C10-BB94-C4136F2CA695}">
  <dimension ref="C2:S28"/>
  <sheetViews>
    <sheetView tabSelected="1" workbookViewId="0">
      <selection activeCell="A7" sqref="A7"/>
    </sheetView>
  </sheetViews>
  <sheetFormatPr defaultRowHeight="14.4"/>
  <cols>
    <col min="5" max="5" width="14.88671875" bestFit="1" customWidth="1"/>
    <col min="7" max="7" width="17.21875" bestFit="1" customWidth="1"/>
    <col min="8" max="8" width="10.109375" bestFit="1" customWidth="1"/>
    <col min="9" max="9" width="14.109375" bestFit="1" customWidth="1"/>
    <col min="11" max="11" width="24.88671875" bestFit="1" customWidth="1"/>
    <col min="12" max="12" width="14.109375" customWidth="1"/>
    <col min="13" max="13" width="11.44140625" customWidth="1"/>
    <col min="14" max="14" width="12.33203125" customWidth="1"/>
    <col min="16" max="16" width="10.77734375" bestFit="1" customWidth="1"/>
    <col min="17" max="17" width="12.5546875" bestFit="1" customWidth="1"/>
  </cols>
  <sheetData>
    <row r="2" spans="3:19">
      <c r="D2" t="s">
        <v>95</v>
      </c>
    </row>
    <row r="3" spans="3:19">
      <c r="D3" t="s">
        <v>95</v>
      </c>
      <c r="E3" s="21" t="s">
        <v>91</v>
      </c>
      <c r="G3" s="21" t="s">
        <v>187</v>
      </c>
      <c r="I3" s="21" t="s">
        <v>186</v>
      </c>
      <c r="K3" s="21" t="s">
        <v>177</v>
      </c>
      <c r="L3" s="21" t="s">
        <v>178</v>
      </c>
      <c r="M3" s="21" t="s">
        <v>179</v>
      </c>
      <c r="N3" s="21" t="s">
        <v>180</v>
      </c>
      <c r="P3" s="22" t="s">
        <v>181</v>
      </c>
      <c r="Q3" s="22"/>
      <c r="R3" s="22"/>
      <c r="S3" s="22"/>
    </row>
    <row r="4" spans="3:19">
      <c r="C4" s="2" t="s">
        <v>0</v>
      </c>
      <c r="D4" s="2" t="s">
        <v>1</v>
      </c>
      <c r="E4" s="2" t="s">
        <v>92</v>
      </c>
      <c r="F4" s="2" t="s">
        <v>2</v>
      </c>
      <c r="G4" s="2" t="s">
        <v>185</v>
      </c>
      <c r="H4" s="2" t="s">
        <v>3</v>
      </c>
      <c r="I4" s="20" t="s">
        <v>184</v>
      </c>
      <c r="J4" s="2" t="s">
        <v>4</v>
      </c>
      <c r="K4" s="15" t="s">
        <v>114</v>
      </c>
      <c r="L4" s="15" t="s">
        <v>135</v>
      </c>
      <c r="M4" s="15" t="s">
        <v>156</v>
      </c>
      <c r="N4" s="2" t="s">
        <v>4</v>
      </c>
      <c r="P4" s="19" t="s">
        <v>37</v>
      </c>
      <c r="Q4" s="19" t="s">
        <v>39</v>
      </c>
      <c r="R4" s="19" t="s">
        <v>182</v>
      </c>
      <c r="S4" s="19" t="s">
        <v>183</v>
      </c>
    </row>
    <row r="5" spans="3:19">
      <c r="C5" s="1" t="s">
        <v>5</v>
      </c>
      <c r="D5" s="1" t="s">
        <v>6</v>
      </c>
      <c r="E5" s="1" t="s">
        <v>93</v>
      </c>
      <c r="F5" s="1">
        <v>25000</v>
      </c>
      <c r="G5" s="1">
        <f>F5/1000</f>
        <v>25</v>
      </c>
      <c r="H5" s="1">
        <v>2000</v>
      </c>
      <c r="I5" s="1">
        <f>H5+500</f>
        <v>2500</v>
      </c>
      <c r="J5" s="1" t="s">
        <v>7</v>
      </c>
      <c r="K5" s="16" t="s">
        <v>115</v>
      </c>
      <c r="L5" s="18" t="s">
        <v>136</v>
      </c>
      <c r="M5" s="18" t="s">
        <v>157</v>
      </c>
      <c r="N5" s="1" t="s">
        <v>7</v>
      </c>
      <c r="P5">
        <f>SUM(F5:F24)</f>
        <v>587500</v>
      </c>
      <c r="Q5">
        <f>P5*12</f>
        <v>7050000</v>
      </c>
      <c r="R5">
        <f>Q5/100</f>
        <v>70500</v>
      </c>
      <c r="S5">
        <f>P5-R5</f>
        <v>517000</v>
      </c>
    </row>
    <row r="6" spans="3:19">
      <c r="C6" s="1" t="s">
        <v>8</v>
      </c>
      <c r="D6" s="1" t="s">
        <v>9</v>
      </c>
      <c r="E6" s="1" t="s">
        <v>94</v>
      </c>
      <c r="F6" s="1">
        <v>30000</v>
      </c>
      <c r="G6" s="1">
        <f t="shared" ref="G6:G24" si="0">F6/1000</f>
        <v>30</v>
      </c>
      <c r="H6" s="1">
        <v>2500</v>
      </c>
      <c r="I6" s="1">
        <f>H6+500</f>
        <v>3000</v>
      </c>
      <c r="J6" s="1" t="s">
        <v>10</v>
      </c>
      <c r="K6" s="16" t="s">
        <v>116</v>
      </c>
      <c r="L6" s="18" t="s">
        <v>137</v>
      </c>
      <c r="M6" s="18" t="s">
        <v>158</v>
      </c>
      <c r="N6" s="1" t="s">
        <v>10</v>
      </c>
    </row>
    <row r="7" spans="3:19">
      <c r="C7" s="1" t="s">
        <v>11</v>
      </c>
      <c r="D7" s="1" t="s">
        <v>12</v>
      </c>
      <c r="E7" s="1" t="s">
        <v>96</v>
      </c>
      <c r="F7" s="1">
        <v>28000</v>
      </c>
      <c r="G7" s="1">
        <f t="shared" si="0"/>
        <v>28</v>
      </c>
      <c r="H7" s="1">
        <v>1800</v>
      </c>
      <c r="I7" s="1">
        <f t="shared" ref="I7:I23" si="1">H7+500</f>
        <v>2300</v>
      </c>
      <c r="J7" s="1" t="s">
        <v>13</v>
      </c>
      <c r="K7" s="16" t="s">
        <v>117</v>
      </c>
      <c r="L7" s="18" t="s">
        <v>138</v>
      </c>
      <c r="M7" s="18" t="s">
        <v>159</v>
      </c>
      <c r="N7" s="1" t="s">
        <v>13</v>
      </c>
    </row>
    <row r="8" spans="3:19">
      <c r="C8" s="1" t="s">
        <v>14</v>
      </c>
      <c r="D8" s="1" t="s">
        <v>15</v>
      </c>
      <c r="E8" s="1" t="s">
        <v>97</v>
      </c>
      <c r="F8" s="1">
        <v>32000</v>
      </c>
      <c r="G8" s="1">
        <f t="shared" si="0"/>
        <v>32</v>
      </c>
      <c r="H8" s="1">
        <v>3000</v>
      </c>
      <c r="I8" s="1">
        <f t="shared" si="1"/>
        <v>3500</v>
      </c>
      <c r="J8" s="1" t="s">
        <v>16</v>
      </c>
      <c r="K8" s="16" t="s">
        <v>118</v>
      </c>
      <c r="L8" s="18" t="s">
        <v>139</v>
      </c>
      <c r="M8" s="18" t="s">
        <v>160</v>
      </c>
      <c r="N8" s="1" t="s">
        <v>16</v>
      </c>
    </row>
    <row r="9" spans="3:19">
      <c r="C9" s="1" t="s">
        <v>17</v>
      </c>
      <c r="D9" s="1" t="s">
        <v>18</v>
      </c>
      <c r="E9" s="1" t="s">
        <v>98</v>
      </c>
      <c r="F9" s="1">
        <v>27000</v>
      </c>
      <c r="G9" s="1">
        <f t="shared" si="0"/>
        <v>27</v>
      </c>
      <c r="H9" s="1">
        <v>2200</v>
      </c>
      <c r="I9" s="1">
        <f t="shared" si="1"/>
        <v>2700</v>
      </c>
      <c r="J9" s="1" t="s">
        <v>19</v>
      </c>
      <c r="K9" s="16" t="s">
        <v>119</v>
      </c>
      <c r="L9" s="18" t="s">
        <v>140</v>
      </c>
      <c r="M9" s="18" t="s">
        <v>161</v>
      </c>
      <c r="N9" s="1" t="s">
        <v>19</v>
      </c>
    </row>
    <row r="10" spans="3:19">
      <c r="C10" s="1" t="s">
        <v>55</v>
      </c>
      <c r="D10" s="1" t="s">
        <v>56</v>
      </c>
      <c r="E10" s="1" t="s">
        <v>99</v>
      </c>
      <c r="F10" s="1">
        <v>26000</v>
      </c>
      <c r="G10" s="1">
        <f t="shared" si="0"/>
        <v>26</v>
      </c>
      <c r="H10" s="1">
        <v>2100</v>
      </c>
      <c r="I10" s="1">
        <f t="shared" si="1"/>
        <v>2600</v>
      </c>
      <c r="J10" s="1" t="s">
        <v>57</v>
      </c>
      <c r="K10" s="16" t="s">
        <v>120</v>
      </c>
      <c r="L10" s="18" t="s">
        <v>141</v>
      </c>
      <c r="M10" s="18" t="s">
        <v>162</v>
      </c>
      <c r="N10" s="1" t="s">
        <v>57</v>
      </c>
    </row>
    <row r="11" spans="3:19">
      <c r="C11" s="1" t="s">
        <v>58</v>
      </c>
      <c r="D11" s="1" t="s">
        <v>59</v>
      </c>
      <c r="E11" s="1" t="s">
        <v>100</v>
      </c>
      <c r="F11" s="1">
        <v>31000</v>
      </c>
      <c r="G11" s="1">
        <f t="shared" si="0"/>
        <v>31</v>
      </c>
      <c r="H11" s="1">
        <v>2700</v>
      </c>
      <c r="I11" s="1">
        <f t="shared" si="1"/>
        <v>3200</v>
      </c>
      <c r="J11" s="1" t="s">
        <v>60</v>
      </c>
      <c r="K11" s="16" t="s">
        <v>121</v>
      </c>
      <c r="L11" s="18" t="s">
        <v>142</v>
      </c>
      <c r="M11" s="18" t="s">
        <v>163</v>
      </c>
      <c r="N11" s="1" t="s">
        <v>60</v>
      </c>
    </row>
    <row r="12" spans="3:19">
      <c r="C12" s="1" t="s">
        <v>61</v>
      </c>
      <c r="D12" s="1" t="s">
        <v>62</v>
      </c>
      <c r="E12" s="1" t="s">
        <v>101</v>
      </c>
      <c r="F12" s="1">
        <v>29000</v>
      </c>
      <c r="G12" s="1">
        <f t="shared" si="0"/>
        <v>29</v>
      </c>
      <c r="H12" s="1">
        <v>2400</v>
      </c>
      <c r="I12" s="1">
        <f t="shared" si="1"/>
        <v>2900</v>
      </c>
      <c r="J12" s="1" t="s">
        <v>63</v>
      </c>
      <c r="K12" s="16" t="s">
        <v>122</v>
      </c>
      <c r="L12" s="18" t="s">
        <v>143</v>
      </c>
      <c r="M12" s="18" t="s">
        <v>164</v>
      </c>
      <c r="N12" s="1" t="s">
        <v>63</v>
      </c>
    </row>
    <row r="13" spans="3:19">
      <c r="C13" s="1" t="s">
        <v>64</v>
      </c>
      <c r="D13" s="1" t="s">
        <v>65</v>
      </c>
      <c r="E13" s="1" t="s">
        <v>102</v>
      </c>
      <c r="F13" s="1">
        <v>27500</v>
      </c>
      <c r="G13" s="1">
        <f t="shared" si="0"/>
        <v>27.5</v>
      </c>
      <c r="H13" s="1">
        <v>1900</v>
      </c>
      <c r="I13" s="1">
        <f t="shared" si="1"/>
        <v>2400</v>
      </c>
      <c r="J13" s="1" t="s">
        <v>66</v>
      </c>
      <c r="K13" s="16" t="s">
        <v>123</v>
      </c>
      <c r="L13" s="18" t="s">
        <v>144</v>
      </c>
      <c r="M13" s="18" t="s">
        <v>165</v>
      </c>
      <c r="N13" s="1" t="s">
        <v>66</v>
      </c>
    </row>
    <row r="14" spans="3:19">
      <c r="C14" s="1" t="s">
        <v>67</v>
      </c>
      <c r="D14" s="1" t="s">
        <v>68</v>
      </c>
      <c r="E14" s="1" t="s">
        <v>103</v>
      </c>
      <c r="F14" s="1">
        <v>33000</v>
      </c>
      <c r="G14" s="1">
        <f t="shared" si="0"/>
        <v>33</v>
      </c>
      <c r="H14" s="1">
        <v>3200</v>
      </c>
      <c r="I14" s="1">
        <f t="shared" si="1"/>
        <v>3700</v>
      </c>
      <c r="J14" s="1" t="s">
        <v>69</v>
      </c>
      <c r="K14" s="16" t="s">
        <v>124</v>
      </c>
      <c r="L14" s="18" t="s">
        <v>145</v>
      </c>
      <c r="M14" s="18" t="s">
        <v>166</v>
      </c>
      <c r="N14" s="1" t="s">
        <v>69</v>
      </c>
    </row>
    <row r="15" spans="3:19">
      <c r="C15" s="1" t="s">
        <v>70</v>
      </c>
      <c r="D15" s="1" t="s">
        <v>71</v>
      </c>
      <c r="E15" s="1" t="s">
        <v>104</v>
      </c>
      <c r="F15" s="1">
        <v>30500</v>
      </c>
      <c r="G15" s="1">
        <f t="shared" si="0"/>
        <v>30.5</v>
      </c>
      <c r="H15" s="1">
        <v>2600</v>
      </c>
      <c r="I15" s="1">
        <f t="shared" si="1"/>
        <v>3100</v>
      </c>
      <c r="J15" s="1" t="s">
        <v>72</v>
      </c>
      <c r="K15" s="16" t="s">
        <v>125</v>
      </c>
      <c r="L15" s="18" t="s">
        <v>146</v>
      </c>
      <c r="M15" s="18" t="s">
        <v>167</v>
      </c>
      <c r="N15" s="1" t="s">
        <v>72</v>
      </c>
    </row>
    <row r="16" spans="3:19">
      <c r="C16" s="1" t="s">
        <v>73</v>
      </c>
      <c r="D16" s="1" t="s">
        <v>74</v>
      </c>
      <c r="E16" s="1" t="s">
        <v>105</v>
      </c>
      <c r="F16" s="1">
        <v>29500</v>
      </c>
      <c r="G16" s="1">
        <f t="shared" si="0"/>
        <v>29.5</v>
      </c>
      <c r="H16" s="1">
        <v>2300</v>
      </c>
      <c r="I16" s="1">
        <f t="shared" si="1"/>
        <v>2800</v>
      </c>
      <c r="J16" s="1" t="s">
        <v>75</v>
      </c>
      <c r="K16" s="16" t="s">
        <v>126</v>
      </c>
      <c r="L16" s="18" t="s">
        <v>147</v>
      </c>
      <c r="M16" s="18" t="s">
        <v>168</v>
      </c>
      <c r="N16" s="1" t="s">
        <v>75</v>
      </c>
    </row>
    <row r="17" spans="3:14">
      <c r="C17" s="1" t="s">
        <v>76</v>
      </c>
      <c r="D17" s="1" t="s">
        <v>77</v>
      </c>
      <c r="E17" s="1" t="s">
        <v>106</v>
      </c>
      <c r="F17" s="1">
        <v>28500</v>
      </c>
      <c r="G17" s="1">
        <f t="shared" si="0"/>
        <v>28.5</v>
      </c>
      <c r="H17" s="1">
        <v>2000</v>
      </c>
      <c r="I17" s="1">
        <f t="shared" si="1"/>
        <v>2500</v>
      </c>
      <c r="J17" s="1" t="s">
        <v>7</v>
      </c>
      <c r="K17" s="16" t="s">
        <v>127</v>
      </c>
      <c r="L17" s="18" t="s">
        <v>148</v>
      </c>
      <c r="M17" s="18" t="s">
        <v>169</v>
      </c>
      <c r="N17" s="1" t="s">
        <v>7</v>
      </c>
    </row>
    <row r="18" spans="3:14">
      <c r="C18" s="1" t="s">
        <v>78</v>
      </c>
      <c r="D18" s="1" t="s">
        <v>79</v>
      </c>
      <c r="E18" s="1" t="s">
        <v>107</v>
      </c>
      <c r="F18" s="1">
        <v>34000</v>
      </c>
      <c r="G18" s="1">
        <f t="shared" si="0"/>
        <v>34</v>
      </c>
      <c r="H18" s="1">
        <v>3500</v>
      </c>
      <c r="I18" s="1">
        <f t="shared" si="1"/>
        <v>4000</v>
      </c>
      <c r="J18" s="1" t="s">
        <v>10</v>
      </c>
      <c r="K18" s="16" t="s">
        <v>128</v>
      </c>
      <c r="L18" s="18" t="s">
        <v>149</v>
      </c>
      <c r="M18" s="18" t="s">
        <v>170</v>
      </c>
      <c r="N18" s="1" t="s">
        <v>10</v>
      </c>
    </row>
    <row r="19" spans="3:14">
      <c r="C19" s="1" t="s">
        <v>80</v>
      </c>
      <c r="D19" s="1" t="s">
        <v>81</v>
      </c>
      <c r="E19" s="1" t="s">
        <v>108</v>
      </c>
      <c r="F19" s="1">
        <v>26500</v>
      </c>
      <c r="G19" s="1">
        <f t="shared" si="0"/>
        <v>26.5</v>
      </c>
      <c r="H19" s="1">
        <v>1800</v>
      </c>
      <c r="I19" s="1">
        <f t="shared" si="1"/>
        <v>2300</v>
      </c>
      <c r="J19" s="1" t="s">
        <v>13</v>
      </c>
      <c r="K19" s="16" t="s">
        <v>129</v>
      </c>
      <c r="L19" s="18" t="s">
        <v>150</v>
      </c>
      <c r="M19" s="18" t="s">
        <v>171</v>
      </c>
      <c r="N19" s="1" t="s">
        <v>13</v>
      </c>
    </row>
    <row r="20" spans="3:14">
      <c r="C20" s="1" t="s">
        <v>82</v>
      </c>
      <c r="D20" s="1" t="s">
        <v>83</v>
      </c>
      <c r="E20" s="1" t="s">
        <v>109</v>
      </c>
      <c r="F20" s="1">
        <v>31500</v>
      </c>
      <c r="G20" s="1">
        <f t="shared" si="0"/>
        <v>31.5</v>
      </c>
      <c r="H20" s="1">
        <v>2900</v>
      </c>
      <c r="I20" s="1">
        <f t="shared" si="1"/>
        <v>3400</v>
      </c>
      <c r="J20" s="1" t="s">
        <v>16</v>
      </c>
      <c r="K20" s="16" t="s">
        <v>130</v>
      </c>
      <c r="L20" s="18" t="s">
        <v>151</v>
      </c>
      <c r="M20" s="18" t="s">
        <v>172</v>
      </c>
      <c r="N20" s="1" t="s">
        <v>16</v>
      </c>
    </row>
    <row r="21" spans="3:14">
      <c r="C21" s="1" t="s">
        <v>15</v>
      </c>
      <c r="D21" s="1" t="s">
        <v>84</v>
      </c>
      <c r="E21" s="1" t="s">
        <v>110</v>
      </c>
      <c r="F21" s="1">
        <v>27500</v>
      </c>
      <c r="G21" s="1">
        <f t="shared" si="0"/>
        <v>27.5</v>
      </c>
      <c r="H21" s="1">
        <v>2100</v>
      </c>
      <c r="I21" s="1">
        <f t="shared" si="1"/>
        <v>2600</v>
      </c>
      <c r="J21" s="1" t="s">
        <v>19</v>
      </c>
      <c r="K21" s="16" t="s">
        <v>131</v>
      </c>
      <c r="L21" s="18" t="s">
        <v>152</v>
      </c>
      <c r="M21" s="18" t="s">
        <v>173</v>
      </c>
      <c r="N21" s="1" t="s">
        <v>19</v>
      </c>
    </row>
    <row r="22" spans="3:14">
      <c r="C22" s="1" t="s">
        <v>85</v>
      </c>
      <c r="D22" s="1" t="s">
        <v>86</v>
      </c>
      <c r="E22" s="1" t="s">
        <v>111</v>
      </c>
      <c r="F22" s="1">
        <v>30000</v>
      </c>
      <c r="G22" s="1">
        <f t="shared" si="0"/>
        <v>30</v>
      </c>
      <c r="H22" s="1">
        <v>2500</v>
      </c>
      <c r="I22" s="1">
        <f t="shared" si="1"/>
        <v>3000</v>
      </c>
      <c r="J22" s="1" t="s">
        <v>57</v>
      </c>
      <c r="K22" s="16" t="s">
        <v>132</v>
      </c>
      <c r="L22" s="18" t="s">
        <v>153</v>
      </c>
      <c r="M22" s="18" t="s">
        <v>174</v>
      </c>
      <c r="N22" s="1" t="s">
        <v>57</v>
      </c>
    </row>
    <row r="23" spans="3:14">
      <c r="C23" s="1" t="s">
        <v>87</v>
      </c>
      <c r="D23" s="1" t="s">
        <v>88</v>
      </c>
      <c r="E23" s="1" t="s">
        <v>112</v>
      </c>
      <c r="F23" s="1">
        <v>28500</v>
      </c>
      <c r="G23" s="1">
        <f t="shared" si="0"/>
        <v>28.5</v>
      </c>
      <c r="H23" s="1">
        <v>2200</v>
      </c>
      <c r="I23" s="1">
        <f t="shared" si="1"/>
        <v>2700</v>
      </c>
      <c r="J23" s="1" t="s">
        <v>60</v>
      </c>
      <c r="K23" s="16" t="s">
        <v>133</v>
      </c>
      <c r="L23" s="18" t="s">
        <v>154</v>
      </c>
      <c r="M23" s="18" t="s">
        <v>175</v>
      </c>
      <c r="N23" s="1" t="s">
        <v>60</v>
      </c>
    </row>
    <row r="24" spans="3:14">
      <c r="C24" s="1" t="s">
        <v>89</v>
      </c>
      <c r="D24" s="1" t="s">
        <v>90</v>
      </c>
      <c r="E24" s="1" t="s">
        <v>113</v>
      </c>
      <c r="F24" s="1">
        <v>32500</v>
      </c>
      <c r="G24" s="1">
        <f t="shared" si="0"/>
        <v>32.5</v>
      </c>
      <c r="H24" s="1">
        <v>3000</v>
      </c>
      <c r="I24" s="1">
        <f>H24+500</f>
        <v>3500</v>
      </c>
      <c r="J24" s="1" t="s">
        <v>63</v>
      </c>
      <c r="K24" s="16" t="s">
        <v>134</v>
      </c>
      <c r="L24" s="18" t="s">
        <v>155</v>
      </c>
      <c r="M24" s="18" t="s">
        <v>176</v>
      </c>
      <c r="N24" s="1" t="s">
        <v>63</v>
      </c>
    </row>
    <row r="25" spans="3:14">
      <c r="N25" s="1" t="s">
        <v>66</v>
      </c>
    </row>
    <row r="26" spans="3:14">
      <c r="N26" s="1" t="s">
        <v>69</v>
      </c>
    </row>
    <row r="27" spans="3:14">
      <c r="N27" s="1" t="s">
        <v>72</v>
      </c>
    </row>
    <row r="28" spans="3:14">
      <c r="N28" s="1" t="s">
        <v>75</v>
      </c>
    </row>
  </sheetData>
  <mergeCells count="1">
    <mergeCell ref="P3:S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Instructions</vt:lpstr>
      <vt:lpstr>D-5 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Hanumanthu Uday Kiran</cp:lastModifiedBy>
  <dcterms:created xsi:type="dcterms:W3CDTF">2026-04-13T06:32:00Z</dcterms:created>
  <dcterms:modified xsi:type="dcterms:W3CDTF">2026-04-13T15:37:53Z</dcterms:modified>
</cp:coreProperties>
</file>